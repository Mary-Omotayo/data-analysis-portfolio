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OneDrive\Documents\Excel Solutions\"/>
    </mc:Choice>
  </mc:AlternateContent>
  <bookViews>
    <workbookView xWindow="-120" yWindow="-120" windowWidth="20730" windowHeight="11760"/>
  </bookViews>
  <sheets>
    <sheet name="Preliminary Sheet" sheetId="6" r:id="rId1"/>
    <sheet name="Average" sheetId="12" r:id="rId2"/>
    <sheet name="Report Sheet" sheetId="11" r:id="rId3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3" i="11" l="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12" i="11"/>
  <c r="AG33" i="12" l="1"/>
  <c r="AG32" i="12"/>
  <c r="AG31" i="12"/>
  <c r="AG30" i="12"/>
  <c r="AG28" i="12"/>
  <c r="AG27" i="12"/>
  <c r="AG26" i="12"/>
  <c r="AG25" i="12"/>
  <c r="AG24" i="12"/>
  <c r="AG23" i="12"/>
  <c r="AG22" i="12"/>
  <c r="AG21" i="12"/>
  <c r="AG20" i="12"/>
  <c r="AG19" i="12"/>
  <c r="AG18" i="12"/>
  <c r="AG17" i="12"/>
  <c r="AG16" i="12"/>
  <c r="AG15" i="12"/>
  <c r="AG36" i="12" l="1"/>
  <c r="E34" i="11" s="1"/>
  <c r="AG14" i="12"/>
  <c r="J15" i="11"/>
  <c r="J18" i="11"/>
  <c r="J19" i="11"/>
  <c r="J20" i="11"/>
  <c r="J21" i="11"/>
  <c r="J22" i="11"/>
  <c r="J23" i="11"/>
  <c r="J12" i="11"/>
  <c r="J24" i="11"/>
  <c r="J16" i="11"/>
  <c r="J17" i="11"/>
  <c r="J13" i="11"/>
  <c r="J25" i="11"/>
  <c r="J26" i="11"/>
  <c r="J27" i="11"/>
  <c r="J28" i="11"/>
  <c r="J29" i="11"/>
  <c r="J30" i="11"/>
  <c r="J31" i="11"/>
  <c r="L31" i="11" s="1"/>
  <c r="N31" i="11" s="1"/>
  <c r="L15" i="11"/>
  <c r="N15" i="11"/>
  <c r="L18" i="11"/>
  <c r="N18" i="11"/>
  <c r="L19" i="11"/>
  <c r="N19" i="11"/>
  <c r="L20" i="11"/>
  <c r="N20" i="11"/>
  <c r="L21" i="11"/>
  <c r="N21" i="11"/>
  <c r="L22" i="11"/>
  <c r="N22" i="11"/>
  <c r="L23" i="11"/>
  <c r="N23" i="11"/>
  <c r="L12" i="11"/>
  <c r="N12" i="11"/>
  <c r="L24" i="11"/>
  <c r="N24" i="11"/>
  <c r="L16" i="11"/>
  <c r="N16" i="11"/>
  <c r="L17" i="11"/>
  <c r="N17" i="11"/>
  <c r="L13" i="11"/>
  <c r="N13" i="11"/>
  <c r="L25" i="11"/>
  <c r="N25" i="11"/>
  <c r="L26" i="11"/>
  <c r="N26" i="11"/>
  <c r="L27" i="11"/>
  <c r="N27" i="11"/>
  <c r="L28" i="11"/>
  <c r="N28" i="11"/>
  <c r="L29" i="11"/>
  <c r="N29" i="11"/>
  <c r="L30" i="11"/>
  <c r="N30" i="11"/>
  <c r="B34" i="11" l="1"/>
  <c r="O26" i="11"/>
  <c r="O25" i="11"/>
  <c r="O13" i="11"/>
  <c r="O17" i="11"/>
  <c r="O15" i="11"/>
  <c r="O18" i="11"/>
  <c r="O19" i="11"/>
  <c r="O20" i="11"/>
  <c r="O21" i="11"/>
  <c r="O22" i="11"/>
  <c r="O23" i="11"/>
  <c r="O12" i="11"/>
  <c r="O24" i="11"/>
  <c r="O16" i="11"/>
  <c r="O28" i="11"/>
  <c r="O29" i="11"/>
  <c r="O30" i="11"/>
  <c r="O31" i="11"/>
  <c r="O14" i="11"/>
  <c r="J14" i="11"/>
  <c r="L14" i="11" s="1"/>
  <c r="C378" i="12" s="1"/>
  <c r="AG13" i="12" s="1"/>
  <c r="C34" i="11" l="1"/>
  <c r="D34" i="11" s="1"/>
  <c r="N14" i="11"/>
</calcChain>
</file>

<file path=xl/sharedStrings.xml><?xml version="1.0" encoding="utf-8"?>
<sst xmlns="http://schemas.openxmlformats.org/spreadsheetml/2006/main" count="149" uniqueCount="125">
  <si>
    <t>S/N</t>
  </si>
  <si>
    <t>SUBJECT</t>
  </si>
  <si>
    <t>ATTENDANCE (5MARKS)</t>
  </si>
  <si>
    <t>TOTAL (40%)</t>
  </si>
  <si>
    <t>EXAMINATION 60%</t>
  </si>
  <si>
    <t>AGGREGATE 100%</t>
  </si>
  <si>
    <t>GRADE</t>
  </si>
  <si>
    <t>REMARK</t>
  </si>
  <si>
    <t>BASIC SCIENCE</t>
  </si>
  <si>
    <t>BASIC TECHNOLOGY</t>
  </si>
  <si>
    <t>COMPUTER SCIENCE</t>
  </si>
  <si>
    <t>CIVIC EDUCATION</t>
  </si>
  <si>
    <t>AGRICULTURAL SCIENCE</t>
  </si>
  <si>
    <t>SOCIAL STUDIES</t>
  </si>
  <si>
    <t>PHYSICAL &amp; HEALTH EDUCATION</t>
  </si>
  <si>
    <t>MATHEMATICS</t>
  </si>
  <si>
    <t>SECURITY EDUCATION</t>
  </si>
  <si>
    <t>QUANTITATIVE REASONING</t>
  </si>
  <si>
    <t>VERBAL REASONING</t>
  </si>
  <si>
    <t>ENGLISH</t>
  </si>
  <si>
    <t>CULTURAL &amp; CREATIVE ART</t>
  </si>
  <si>
    <t>HOME ECONOMICS</t>
  </si>
  <si>
    <t>1ST C.A                        (10 MARKS)</t>
  </si>
  <si>
    <t>2ND C.A                        (10 MARKS)</t>
  </si>
  <si>
    <t>TAKE HOME                       (5 MARKS)</t>
  </si>
  <si>
    <t>PROJECT                             (5 MARKS)</t>
  </si>
  <si>
    <t>NOTE COPYING                                   (5 MARKS)</t>
  </si>
  <si>
    <t>British Montessori School</t>
  </si>
  <si>
    <t>NAME:</t>
  </si>
  <si>
    <t>ADM NO:</t>
  </si>
  <si>
    <t>TOTAL SCORE OBTAINABLE</t>
  </si>
  <si>
    <t>TOTAL SCORE OBTAINED</t>
  </si>
  <si>
    <t>KEYS TO GRADING</t>
  </si>
  <si>
    <t>90%-100%        DISTINCTION                (A)</t>
  </si>
  <si>
    <t>80%-89%                       VERY GOOD                (B+)</t>
  </si>
  <si>
    <t>70%-79%                       GOOD                         (B)</t>
  </si>
  <si>
    <t>50%-69%                       FAIRLY GOOD          (C )</t>
  </si>
  <si>
    <t>40%-49%                 PASS                          (D)</t>
  </si>
  <si>
    <t>0%-39%                        FAIL                           (F)</t>
  </si>
  <si>
    <t>ATTENDANCE:</t>
  </si>
  <si>
    <t>CLASS:</t>
  </si>
  <si>
    <t>CLUB:</t>
  </si>
  <si>
    <t>NO. OF TIME SCHOOL OPEN:</t>
  </si>
  <si>
    <t>NO OF TIME PRESENT:</t>
  </si>
  <si>
    <t>NO OF TIME ABSENT:</t>
  </si>
  <si>
    <t>NUMBER OF CHILDREN IN THE CLASS:</t>
  </si>
  <si>
    <t>NEXT TERM RESUMES:</t>
  </si>
  <si>
    <t>STUDENT'S AVERAGE SCORE (%)</t>
  </si>
  <si>
    <t>CLASS AVERAGE SCORE</t>
  </si>
  <si>
    <t>SUBJECT AVERAGE</t>
  </si>
  <si>
    <t>AGGREGATE SCORE OF STUDENT 1</t>
  </si>
  <si>
    <t>AGGREGATE SCORE OF STUDENT 2</t>
  </si>
  <si>
    <t>AGGREGATE SCORE OF STUDENT 3</t>
  </si>
  <si>
    <t>AGGREGATE SCORE OF STUDENT 4</t>
  </si>
  <si>
    <t>AGGREGATE SCORE OF STUDENT 5</t>
  </si>
  <si>
    <t>AGGREGATE SCORE OF STUDENT 6</t>
  </si>
  <si>
    <t>AGGREGATE SCORE OF STUDENT 7</t>
  </si>
  <si>
    <t>AGGREGATE SCORE OF STUDENT 8</t>
  </si>
  <si>
    <t>AGGREGATE SCORE OF STUDENT 9</t>
  </si>
  <si>
    <t>AGGREGATE SCORE OF STUDENT 10</t>
  </si>
  <si>
    <t>AGGREGATE SCORE OF STUDENT 11</t>
  </si>
  <si>
    <t>AGGREGATE SCORE OF STUDENT 12</t>
  </si>
  <si>
    <t>AGGREGATE SCORE OF STUDENT 13</t>
  </si>
  <si>
    <t>AGGREGATE SCORE OF STUDENT 14</t>
  </si>
  <si>
    <t>AGGREGATE SCORE OF STUDENT 15</t>
  </si>
  <si>
    <t>AGGREGATE SCORE OF STUDENT 16</t>
  </si>
  <si>
    <t>AGGREGATE SCORE OF STUDENT 17</t>
  </si>
  <si>
    <t>AGGREGATE SCORE OF STUDENT 18</t>
  </si>
  <si>
    <t>AGGREGATE SCORE OF STUDENT 19</t>
  </si>
  <si>
    <t>AGGREGATE SCORE OF STUDENT 20</t>
  </si>
  <si>
    <t>AGGREGATE SCORE OF STUDENT 21</t>
  </si>
  <si>
    <t>AGGREGATE SCORE OF STUDENT 22</t>
  </si>
  <si>
    <t>AGGREGATE SCORE OF STUDENT 23</t>
  </si>
  <si>
    <t>AGGREGATE SCORE OF STUDENT 24</t>
  </si>
  <si>
    <t>AGGREGATE SCORE OF STUDENT 25</t>
  </si>
  <si>
    <t>AGGREGATE SCORE OF STUDENT 26</t>
  </si>
  <si>
    <t>AGGREGATE SCORE OF STUDENT 27</t>
  </si>
  <si>
    <t>AGGREGATE SCORE OF STUDENT 28</t>
  </si>
  <si>
    <t>AGGREGATE SCORE OF STUDENT 29</t>
  </si>
  <si>
    <t>AGGREGATE SCORE OF STUDENT 30</t>
  </si>
  <si>
    <t>CLASS AVERAGE</t>
  </si>
  <si>
    <t>Do not click this button until you are ready to create report sheets for students</t>
  </si>
  <si>
    <t>Student 1 Average</t>
  </si>
  <si>
    <t>Student 2 Average</t>
  </si>
  <si>
    <t>Student 3 Average</t>
  </si>
  <si>
    <t>Student 4 Average</t>
  </si>
  <si>
    <t>Student 5 Average</t>
  </si>
  <si>
    <t>Student 6 Average</t>
  </si>
  <si>
    <t>Student 7 Average</t>
  </si>
  <si>
    <t>Student 8 Average</t>
  </si>
  <si>
    <t>Student 9 Average</t>
  </si>
  <si>
    <t>Student 10 Average</t>
  </si>
  <si>
    <t>Student 11 Average</t>
  </si>
  <si>
    <t>Student 12 Average</t>
  </si>
  <si>
    <t>Student 13 Average</t>
  </si>
  <si>
    <t>Student 14 Average</t>
  </si>
  <si>
    <t>Student 15 Average</t>
  </si>
  <si>
    <t>Student 16 Average</t>
  </si>
  <si>
    <t>Student 17 Average</t>
  </si>
  <si>
    <t>Student 18 Average</t>
  </si>
  <si>
    <t>Student 19 Average</t>
  </si>
  <si>
    <t>Student 20 Average</t>
  </si>
  <si>
    <t>Student 21 Average</t>
  </si>
  <si>
    <t>Student 22 Average</t>
  </si>
  <si>
    <t>Student 23 Average</t>
  </si>
  <si>
    <t>Student 24 Average</t>
  </si>
  <si>
    <t>Student 25 Average</t>
  </si>
  <si>
    <t>Student 26 Average</t>
  </si>
  <si>
    <t>Student 27 Average</t>
  </si>
  <si>
    <t>Student 28 Average</t>
  </si>
  <si>
    <t>Student 29 Average</t>
  </si>
  <si>
    <t>Student 30 Average</t>
  </si>
  <si>
    <t>CLASS AVERAGE CALCULATOR</t>
  </si>
  <si>
    <t>SUBJECT AVERAGE CALCULATOR</t>
  </si>
  <si>
    <t>RESULT SHEET CREATOR</t>
  </si>
  <si>
    <t>No of Students in the class</t>
  </si>
  <si>
    <t>No of Subject Offered</t>
  </si>
  <si>
    <t>C.R.S/ MORAL STUDIES</t>
  </si>
  <si>
    <t xml:space="preserve">TEACHER'S COMMENT: </t>
  </si>
  <si>
    <t>www.facebook.com/everbrightinternationalschool</t>
  </si>
  <si>
    <t>INTERNATIONAL SCHOOL</t>
  </si>
  <si>
    <t>Motto: We teach Well</t>
  </si>
  <si>
    <t>Abuja, Nigeria</t>
  </si>
  <si>
    <r>
      <rPr>
        <b/>
        <i/>
        <sz val="25"/>
        <color theme="1"/>
        <rFont val="Cambria"/>
        <family val="1"/>
        <scheme val="major"/>
      </rPr>
      <t>Motto:</t>
    </r>
    <r>
      <rPr>
        <i/>
        <sz val="25"/>
        <color theme="1"/>
        <rFont val="Cambria"/>
        <family val="1"/>
        <scheme val="major"/>
      </rPr>
      <t xml:space="preserve"> We teach Well</t>
    </r>
  </si>
  <si>
    <t>Abuja Nigeria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</si>
</sst>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1"/>
      <color rgb="FFFF0000"/>
      <name val="Cambria"/>
      <family val="1"/>
      <scheme val="major"/>
    </font>
    <font>
      <i/>
      <sz val="11"/>
      <color theme="1"/>
      <name val="Calibri"/>
      <family val="2"/>
      <scheme val="minor"/>
    </font>
    <font>
      <sz val="14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6"/>
      <color theme="1"/>
      <name val="Cambria"/>
      <family val="1"/>
      <scheme val="major"/>
    </font>
    <font>
      <sz val="12"/>
      <color theme="1"/>
      <name val="Cambria"/>
      <family val="1"/>
      <scheme val="maj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36"/>
      <color theme="1"/>
      <name val="Cambria"/>
      <family val="1"/>
      <scheme val="major"/>
    </font>
    <font>
      <b/>
      <sz val="30"/>
      <color theme="1"/>
      <name val="Cambria"/>
      <family val="1"/>
      <scheme val="major"/>
    </font>
    <font>
      <i/>
      <sz val="25"/>
      <color theme="1"/>
      <name val="Cambria"/>
      <family val="1"/>
      <scheme val="major"/>
    </font>
    <font>
      <b/>
      <i/>
      <sz val="25"/>
      <color theme="1"/>
      <name val="Cambria"/>
      <family val="1"/>
      <scheme val="major"/>
    </font>
    <font>
      <sz val="20"/>
      <color theme="1"/>
      <name val="Cambria"/>
      <family val="1"/>
      <scheme val="major"/>
    </font>
    <font>
      <b/>
      <sz val="15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mbria"/>
      <family val="1"/>
      <scheme val="major"/>
    </font>
    <font>
      <sz val="15"/>
      <color theme="1"/>
      <name val="Cambria"/>
      <family val="1"/>
      <scheme val="major"/>
    </font>
    <font>
      <b/>
      <sz val="15"/>
      <color rgb="FFFF0000"/>
      <name val="Cambria"/>
      <family val="1"/>
      <scheme val="major"/>
    </font>
    <font>
      <sz val="15"/>
      <color rgb="FFFF0000"/>
      <name val="Calibri"/>
      <family val="2"/>
      <scheme val="minor"/>
    </font>
    <font>
      <b/>
      <sz val="15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1" xfId="0" applyBorder="1" applyProtection="1">
      <protection hidden="1"/>
    </xf>
    <xf numFmtId="0" fontId="0" fillId="0" borderId="0" xfId="0" applyProtection="1">
      <protection locked="0"/>
    </xf>
    <xf numFmtId="0" fontId="0" fillId="0" borderId="12" xfId="0" applyBorder="1" applyProtection="1">
      <protection locked="0"/>
    </xf>
    <xf numFmtId="0" fontId="2" fillId="0" borderId="1" xfId="0" applyFont="1" applyBorder="1" applyAlignment="1" applyProtection="1">
      <alignment textRotation="90"/>
      <protection locked="0"/>
    </xf>
    <xf numFmtId="0" fontId="2" fillId="0" borderId="0" xfId="0" applyFont="1" applyProtection="1">
      <protection locked="0"/>
    </xf>
    <xf numFmtId="0" fontId="0" fillId="0" borderId="1" xfId="0" applyBorder="1" applyProtection="1">
      <protection locked="0"/>
    </xf>
    <xf numFmtId="0" fontId="0" fillId="0" borderId="17" xfId="0" applyBorder="1" applyProtection="1">
      <protection locked="0"/>
    </xf>
    <xf numFmtId="0" fontId="11" fillId="0" borderId="1" xfId="0" applyFont="1" applyBorder="1" applyProtection="1">
      <protection locked="0"/>
    </xf>
    <xf numFmtId="0" fontId="0" fillId="0" borderId="0" xfId="0" applyProtection="1">
      <protection hidden="1"/>
    </xf>
    <xf numFmtId="0" fontId="2" fillId="0" borderId="1" xfId="0" applyFont="1" applyBorder="1" applyAlignment="1" applyProtection="1">
      <alignment textRotation="90"/>
      <protection hidden="1"/>
    </xf>
    <xf numFmtId="0" fontId="11" fillId="0" borderId="0" xfId="0" applyFont="1" applyAlignment="1">
      <alignment wrapText="1"/>
    </xf>
    <xf numFmtId="0" fontId="2" fillId="0" borderId="1" xfId="0" applyFont="1" applyBorder="1" applyAlignment="1">
      <alignment textRotation="90"/>
    </xf>
    <xf numFmtId="0" fontId="2" fillId="0" borderId="1" xfId="0" applyFont="1" applyBorder="1"/>
    <xf numFmtId="0" fontId="3" fillId="0" borderId="1" xfId="0" applyFont="1" applyBorder="1" applyAlignment="1">
      <alignment wrapText="1"/>
    </xf>
    <xf numFmtId="0" fontId="6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3" fillId="0" borderId="1" xfId="0" applyFont="1" applyBorder="1"/>
    <xf numFmtId="2" fontId="0" fillId="0" borderId="1" xfId="0" applyNumberFormat="1" applyBorder="1" applyProtection="1">
      <protection hidden="1"/>
    </xf>
    <xf numFmtId="0" fontId="20" fillId="0" borderId="2" xfId="0" applyFont="1" applyBorder="1"/>
    <xf numFmtId="0" fontId="20" fillId="0" borderId="3" xfId="0" applyFont="1" applyBorder="1"/>
    <xf numFmtId="0" fontId="20" fillId="0" borderId="5" xfId="0" applyFont="1" applyBorder="1"/>
    <xf numFmtId="0" fontId="20" fillId="0" borderId="0" xfId="0" applyFont="1"/>
    <xf numFmtId="0" fontId="20" fillId="0" borderId="7" xfId="0" applyFont="1" applyBorder="1"/>
    <xf numFmtId="0" fontId="21" fillId="0" borderId="0" xfId="0" applyFont="1" applyProtection="1">
      <protection locked="0"/>
    </xf>
    <xf numFmtId="0" fontId="22" fillId="0" borderId="1" xfId="0" applyFont="1" applyBorder="1"/>
    <xf numFmtId="0" fontId="22" fillId="0" borderId="1" xfId="0" applyFont="1" applyBorder="1" applyAlignment="1">
      <alignment wrapText="1"/>
    </xf>
    <xf numFmtId="0" fontId="22" fillId="0" borderId="1" xfId="0" applyFont="1" applyBorder="1" applyAlignment="1">
      <alignment textRotation="90" wrapText="1"/>
    </xf>
    <xf numFmtId="0" fontId="23" fillId="0" borderId="0" xfId="0" applyFont="1" applyProtection="1">
      <protection locked="0"/>
    </xf>
    <xf numFmtId="0" fontId="24" fillId="0" borderId="0" xfId="0" applyFont="1" applyAlignment="1" applyProtection="1">
      <alignment wrapText="1"/>
      <protection locked="0"/>
    </xf>
    <xf numFmtId="0" fontId="25" fillId="0" borderId="0" xfId="0" applyFont="1" applyProtection="1">
      <protection locked="0"/>
    </xf>
    <xf numFmtId="0" fontId="20" fillId="0" borderId="1" xfId="0" applyFont="1" applyBorder="1" applyAlignment="1">
      <alignment vertical="center" wrapText="1"/>
    </xf>
    <xf numFmtId="0" fontId="20" fillId="0" borderId="1" xfId="0" applyFont="1" applyBorder="1" applyProtection="1">
      <protection hidden="1"/>
    </xf>
    <xf numFmtId="0" fontId="26" fillId="0" borderId="1" xfId="0" applyFont="1" applyBorder="1" applyAlignment="1">
      <alignment vertical="center" wrapText="1"/>
    </xf>
    <xf numFmtId="0" fontId="26" fillId="0" borderId="1" xfId="0" applyFont="1" applyBorder="1" applyProtection="1">
      <protection hidden="1"/>
    </xf>
    <xf numFmtId="0" fontId="20" fillId="0" borderId="0" xfId="0" applyFont="1" applyProtection="1">
      <protection locked="0"/>
    </xf>
    <xf numFmtId="0" fontId="20" fillId="0" borderId="0" xfId="0" applyFont="1" applyAlignment="1" applyProtection="1">
      <alignment wrapText="1"/>
      <protection locked="0"/>
    </xf>
    <xf numFmtId="0" fontId="22" fillId="0" borderId="0" xfId="0" applyFont="1" applyProtection="1">
      <protection locked="0"/>
    </xf>
    <xf numFmtId="0" fontId="22" fillId="0" borderId="0" xfId="0" applyFont="1" applyAlignment="1" applyProtection="1">
      <alignment wrapText="1"/>
      <protection locked="0"/>
    </xf>
    <xf numFmtId="0" fontId="28" fillId="0" borderId="0" xfId="0" applyFont="1" applyAlignment="1" applyProtection="1">
      <alignment vertical="center"/>
      <protection locked="0"/>
    </xf>
    <xf numFmtId="0" fontId="20" fillId="0" borderId="12" xfId="0" applyFont="1" applyBorder="1" applyAlignment="1" applyProtection="1">
      <alignment horizontal="left"/>
      <protection locked="0"/>
    </xf>
    <xf numFmtId="0" fontId="23" fillId="0" borderId="1" xfId="0" applyFont="1" applyBorder="1" applyProtection="1">
      <protection locked="0"/>
    </xf>
    <xf numFmtId="0" fontId="23" fillId="0" borderId="1" xfId="0" applyFont="1" applyBorder="1"/>
    <xf numFmtId="0" fontId="23" fillId="0" borderId="1" xfId="0" applyFont="1" applyBorder="1" applyProtection="1">
      <protection hidden="1"/>
    </xf>
    <xf numFmtId="2" fontId="26" fillId="0" borderId="1" xfId="0" applyNumberFormat="1" applyFont="1" applyBorder="1" applyProtection="1">
      <protection hidden="1"/>
    </xf>
    <xf numFmtId="2" fontId="26" fillId="0" borderId="10" xfId="0" applyNumberFormat="1" applyFont="1" applyBorder="1" applyProtection="1">
      <protection hidden="1"/>
    </xf>
    <xf numFmtId="0" fontId="20" fillId="0" borderId="10" xfId="0" applyFont="1" applyBorder="1" applyAlignment="1">
      <alignment vertical="top" wrapText="1"/>
    </xf>
    <xf numFmtId="0" fontId="20" fillId="0" borderId="11" xfId="0" applyFont="1" applyBorder="1" applyAlignment="1">
      <alignment vertical="top" wrapText="1"/>
    </xf>
    <xf numFmtId="0" fontId="20" fillId="0" borderId="1" xfId="0" applyFont="1" applyBorder="1" applyAlignment="1">
      <alignment horizontal="left" vertical="top" wrapText="1"/>
    </xf>
    <xf numFmtId="0" fontId="13" fillId="0" borderId="18" xfId="0" applyFont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20" xfId="0" applyFont="1" applyBorder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0" borderId="0" xfId="0" applyFont="1" applyAlignment="1">
      <alignment horizontal="center" wrapText="1"/>
    </xf>
    <xf numFmtId="0" fontId="14" fillId="2" borderId="0" xfId="0" applyFont="1" applyFill="1" applyAlignment="1" applyProtection="1">
      <alignment horizontal="center"/>
      <protection locked="0"/>
    </xf>
    <xf numFmtId="0" fontId="27" fillId="0" borderId="13" xfId="0" applyFont="1" applyBorder="1" applyAlignment="1" applyProtection="1">
      <alignment horizontal="center"/>
      <protection locked="0"/>
    </xf>
    <xf numFmtId="0" fontId="27" fillId="0" borderId="14" xfId="0" applyFont="1" applyBorder="1" applyAlignment="1" applyProtection="1">
      <alignment horizontal="center"/>
      <protection locked="0"/>
    </xf>
    <xf numFmtId="0" fontId="20" fillId="0" borderId="14" xfId="0" applyFont="1" applyBorder="1" applyAlignment="1" applyProtection="1">
      <alignment horizontal="left"/>
      <protection locked="0"/>
    </xf>
    <xf numFmtId="0" fontId="20" fillId="0" borderId="15" xfId="0" applyFont="1" applyBorder="1" applyAlignment="1" applyProtection="1">
      <alignment horizontal="left"/>
      <protection locked="0"/>
    </xf>
    <xf numFmtId="0" fontId="20" fillId="0" borderId="7" xfId="0" applyFont="1" applyBorder="1" applyAlignment="1">
      <alignment horizontal="left" wrapText="1"/>
    </xf>
    <xf numFmtId="0" fontId="20" fillId="0" borderId="8" xfId="0" applyFont="1" applyBorder="1" applyAlignment="1">
      <alignment horizontal="left" wrapText="1"/>
    </xf>
    <xf numFmtId="0" fontId="20" fillId="0" borderId="13" xfId="0" applyFont="1" applyBorder="1" applyAlignment="1" applyProtection="1">
      <alignment horizontal="left" wrapText="1"/>
      <protection locked="0"/>
    </xf>
    <xf numFmtId="0" fontId="20" fillId="0" borderId="14" xfId="0" applyFont="1" applyBorder="1" applyAlignment="1" applyProtection="1">
      <alignment horizontal="left" wrapText="1"/>
      <protection locked="0"/>
    </xf>
    <xf numFmtId="0" fontId="20" fillId="0" borderId="15" xfId="0" applyFont="1" applyBorder="1" applyAlignment="1" applyProtection="1">
      <alignment horizontal="left" wrapText="1"/>
      <protection locked="0"/>
    </xf>
    <xf numFmtId="0" fontId="20" fillId="0" borderId="13" xfId="0" applyFont="1" applyBorder="1" applyAlignment="1">
      <alignment horizontal="left"/>
    </xf>
    <xf numFmtId="0" fontId="20" fillId="0" borderId="14" xfId="0" applyFont="1" applyBorder="1" applyAlignment="1">
      <alignment horizontal="left"/>
    </xf>
    <xf numFmtId="0" fontId="21" fillId="0" borderId="13" xfId="0" applyFont="1" applyBorder="1" applyAlignment="1" applyProtection="1">
      <alignment horizontal="left"/>
      <protection locked="0"/>
    </xf>
    <xf numFmtId="0" fontId="21" fillId="0" borderId="14" xfId="0" applyFont="1" applyBorder="1" applyAlignment="1" applyProtection="1">
      <alignment horizontal="left"/>
      <protection locked="0"/>
    </xf>
    <xf numFmtId="0" fontId="21" fillId="0" borderId="15" xfId="0" applyFont="1" applyBorder="1" applyAlignment="1" applyProtection="1">
      <alignment horizontal="left"/>
      <protection locked="0"/>
    </xf>
    <xf numFmtId="0" fontId="20" fillId="0" borderId="10" xfId="0" applyFont="1" applyBorder="1" applyAlignment="1">
      <alignment horizontal="left" vertical="top" wrapText="1"/>
    </xf>
    <xf numFmtId="0" fontId="20" fillId="0" borderId="11" xfId="0" applyFont="1" applyBorder="1" applyAlignment="1">
      <alignment horizontal="left" vertical="top" wrapText="1"/>
    </xf>
    <xf numFmtId="0" fontId="20" fillId="0" borderId="10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5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6" xfId="0" applyFont="1" applyBorder="1" applyAlignment="1">
      <alignment horizontal="left"/>
    </xf>
    <xf numFmtId="0" fontId="20" fillId="0" borderId="7" xfId="0" applyFont="1" applyBorder="1" applyAlignment="1">
      <alignment horizontal="center" wrapText="1"/>
    </xf>
    <xf numFmtId="0" fontId="20" fillId="0" borderId="8" xfId="0" applyFont="1" applyBorder="1" applyAlignment="1">
      <alignment horizontal="center" wrapText="1"/>
    </xf>
    <xf numFmtId="0" fontId="20" fillId="0" borderId="9" xfId="0" applyFont="1" applyBorder="1" applyAlignment="1">
      <alignment horizontal="center" wrapText="1"/>
    </xf>
    <xf numFmtId="0" fontId="20" fillId="0" borderId="13" xfId="0" applyFont="1" applyBorder="1" applyAlignment="1" applyProtection="1">
      <alignment horizontal="left"/>
      <protection locked="0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2" xfId="0" applyFont="1" applyBorder="1" applyAlignment="1">
      <alignment horizontal="left"/>
    </xf>
    <xf numFmtId="0" fontId="20" fillId="0" borderId="3" xfId="0" applyFont="1" applyBorder="1" applyAlignment="1">
      <alignment horizontal="left"/>
    </xf>
    <xf numFmtId="0" fontId="20" fillId="0" borderId="4" xfId="0" applyFont="1" applyBorder="1" applyAlignment="1">
      <alignment horizontal="left"/>
    </xf>
    <xf numFmtId="0" fontId="20" fillId="0" borderId="13" xfId="0" quotePrefix="1" applyFont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8</xdr:row>
      <xdr:rowOff>66675</xdr:rowOff>
    </xdr:from>
    <xdr:to>
      <xdr:col>7</xdr:col>
      <xdr:colOff>323850</xdr:colOff>
      <xdr:row>10</xdr:row>
      <xdr:rowOff>28575</xdr:rowOff>
    </xdr:to>
    <xdr:sp macro="[0]!MakeSheets" textlink="">
      <xdr:nvSpPr>
        <xdr:cNvPr id="2" name="Oval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266825" y="457200"/>
          <a:ext cx="88582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</a:t>
          </a:r>
        </a:p>
      </xdr:txBody>
    </xdr:sp>
    <xdr:clientData fPrintsWithSheet="0"/>
  </xdr:twoCellAnchor>
  <xdr:twoCellAnchor editAs="oneCell">
    <xdr:from>
      <xdr:col>1</xdr:col>
      <xdr:colOff>66675</xdr:colOff>
      <xdr:row>0</xdr:row>
      <xdr:rowOff>57150</xdr:rowOff>
    </xdr:from>
    <xdr:to>
      <xdr:col>3</xdr:col>
      <xdr:colOff>339725</xdr:colOff>
      <xdr:row>4</xdr:row>
      <xdr:rowOff>293076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6275" y="57150"/>
          <a:ext cx="1492250" cy="1245576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497417</xdr:colOff>
      <xdr:row>0</xdr:row>
      <xdr:rowOff>234461</xdr:rowOff>
    </xdr:from>
    <xdr:to>
      <xdr:col>3</xdr:col>
      <xdr:colOff>296333</xdr:colOff>
      <xdr:row>6</xdr:row>
      <xdr:rowOff>83037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111250" y="234461"/>
          <a:ext cx="1492250" cy="1245576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385083</xdr:colOff>
      <xdr:row>0</xdr:row>
      <xdr:rowOff>38100</xdr:rowOff>
    </xdr:from>
    <xdr:to>
      <xdr:col>2</xdr:col>
      <xdr:colOff>86633</xdr:colOff>
      <xdr:row>2</xdr:row>
      <xdr:rowOff>293076</xdr:rowOff>
    </xdr:to>
    <xdr:pic>
      <xdr:nvPicPr>
        <xdr:cNvPr id="8" name="Picture 7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85083" y="38100"/>
          <a:ext cx="1492250" cy="1245576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0"/>
  <sheetViews>
    <sheetView showGridLines="0" tabSelected="1" workbookViewId="0">
      <selection sqref="A1:O4"/>
    </sheetView>
  </sheetViews>
  <sheetFormatPr defaultRowHeight="15" x14ac:dyDescent="0.25"/>
  <cols>
    <col min="1" max="16384" width="9.140625" style="2"/>
  </cols>
  <sheetData>
    <row r="1" spans="1:15" ht="25.5" x14ac:dyDescent="0.35">
      <c r="A1" s="60" t="s">
        <v>120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</row>
    <row r="2" spans="1:15" ht="20.25" x14ac:dyDescent="0.3">
      <c r="A2" s="61" t="s">
        <v>27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</row>
    <row r="3" spans="1:15" ht="18" x14ac:dyDescent="0.25">
      <c r="A3" s="62" t="s">
        <v>121</v>
      </c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</row>
    <row r="4" spans="1:15" ht="15.75" x14ac:dyDescent="0.25">
      <c r="A4" s="63" t="s">
        <v>122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</row>
    <row r="5" spans="1:15" ht="23.25" x14ac:dyDescent="0.35">
      <c r="E5" s="67" t="s">
        <v>114</v>
      </c>
      <c r="F5" s="67"/>
      <c r="G5" s="67"/>
      <c r="H5" s="67"/>
      <c r="I5" s="67"/>
      <c r="J5" s="67"/>
      <c r="K5" s="67"/>
    </row>
    <row r="6" spans="1:15" ht="15.75" thickBot="1" x14ac:dyDescent="0.3"/>
    <row r="7" spans="1:15" ht="15.75" thickBot="1" x14ac:dyDescent="0.3">
      <c r="E7" s="64" t="s">
        <v>115</v>
      </c>
      <c r="F7" s="65"/>
      <c r="G7" s="65"/>
      <c r="H7" s="3">
        <v>7</v>
      </c>
    </row>
    <row r="8" spans="1:15" ht="15.75" thickBot="1" x14ac:dyDescent="0.3">
      <c r="E8" s="64" t="s">
        <v>116</v>
      </c>
      <c r="F8" s="64"/>
      <c r="G8" s="64"/>
      <c r="H8" s="3">
        <v>15</v>
      </c>
    </row>
    <row r="9" spans="1:15" x14ac:dyDescent="0.25">
      <c r="I9" s="66" t="s">
        <v>81</v>
      </c>
      <c r="J9" s="66"/>
      <c r="K9" s="66"/>
      <c r="L9" s="66"/>
    </row>
    <row r="10" spans="1:15" ht="47.25" customHeight="1" x14ac:dyDescent="0.25">
      <c r="I10" s="66"/>
      <c r="J10" s="66"/>
      <c r="K10" s="66"/>
      <c r="L10" s="66"/>
    </row>
  </sheetData>
  <mergeCells count="8">
    <mergeCell ref="E7:G7"/>
    <mergeCell ref="E8:G8"/>
    <mergeCell ref="I9:L10"/>
    <mergeCell ref="A1:O1"/>
    <mergeCell ref="A2:N2"/>
    <mergeCell ref="A3:N3"/>
    <mergeCell ref="A4:N4"/>
    <mergeCell ref="E5:K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378"/>
  <sheetViews>
    <sheetView showGridLines="0" topLeftCell="B365" zoomScale="90" zoomScaleNormal="90" workbookViewId="0">
      <pane xSplit="14820" ySplit="525" topLeftCell="AE5" activePane="bottomLeft"/>
      <selection activeCell="B365" sqref="B365:P368"/>
      <selection pane="topRight" activeCell="AG365" sqref="AG1:AG1048576"/>
      <selection pane="bottomLeft" activeCell="B1" sqref="B1:P4"/>
      <selection pane="bottomRight" activeCell="AG27" sqref="AG27"/>
    </sheetView>
  </sheetViews>
  <sheetFormatPr defaultRowHeight="15" x14ac:dyDescent="0.25"/>
  <cols>
    <col min="1" max="1" width="9.140625" style="2"/>
    <col min="2" max="2" width="16.140625" style="2" bestFit="1" customWidth="1"/>
    <col min="3" max="16384" width="9.140625" style="2"/>
  </cols>
  <sheetData>
    <row r="1" spans="1:33" ht="25.5" x14ac:dyDescent="0.35">
      <c r="B1" s="60" t="s">
        <v>120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</row>
    <row r="2" spans="1:33" ht="20.25" x14ac:dyDescent="0.3">
      <c r="B2" s="61" t="s">
        <v>27</v>
      </c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</row>
    <row r="3" spans="1:33" ht="18" x14ac:dyDescent="0.25">
      <c r="B3" s="62" t="s">
        <v>121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</row>
    <row r="4" spans="1:33" ht="15.75" x14ac:dyDescent="0.25">
      <c r="B4" s="63" t="s">
        <v>122</v>
      </c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</row>
    <row r="11" spans="1:33" ht="21" x14ac:dyDescent="0.35">
      <c r="A11" s="59" t="s">
        <v>113</v>
      </c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</row>
    <row r="12" spans="1:33" s="5" customFormat="1" ht="171.75" x14ac:dyDescent="0.25">
      <c r="A12" s="13" t="s">
        <v>0</v>
      </c>
      <c r="B12" s="13" t="s">
        <v>1</v>
      </c>
      <c r="C12" s="12" t="s">
        <v>50</v>
      </c>
      <c r="D12" s="12" t="s">
        <v>51</v>
      </c>
      <c r="E12" s="12" t="s">
        <v>52</v>
      </c>
      <c r="F12" s="12" t="s">
        <v>53</v>
      </c>
      <c r="G12" s="12" t="s">
        <v>54</v>
      </c>
      <c r="H12" s="12" t="s">
        <v>55</v>
      </c>
      <c r="I12" s="12" t="s">
        <v>56</v>
      </c>
      <c r="J12" s="12" t="s">
        <v>57</v>
      </c>
      <c r="K12" s="12" t="s">
        <v>58</v>
      </c>
      <c r="L12" s="12" t="s">
        <v>59</v>
      </c>
      <c r="M12" s="12" t="s">
        <v>60</v>
      </c>
      <c r="N12" s="12" t="s">
        <v>61</v>
      </c>
      <c r="O12" s="12" t="s">
        <v>62</v>
      </c>
      <c r="P12" s="12" t="s">
        <v>63</v>
      </c>
      <c r="Q12" s="12" t="s">
        <v>64</v>
      </c>
      <c r="R12" s="12" t="s">
        <v>65</v>
      </c>
      <c r="S12" s="12" t="s">
        <v>66</v>
      </c>
      <c r="T12" s="12" t="s">
        <v>67</v>
      </c>
      <c r="U12" s="12" t="s">
        <v>68</v>
      </c>
      <c r="V12" s="12" t="s">
        <v>69</v>
      </c>
      <c r="W12" s="12" t="s">
        <v>70</v>
      </c>
      <c r="X12" s="12" t="s">
        <v>71</v>
      </c>
      <c r="Y12" s="12" t="s">
        <v>72</v>
      </c>
      <c r="Z12" s="12" t="s">
        <v>73</v>
      </c>
      <c r="AA12" s="12" t="s">
        <v>74</v>
      </c>
      <c r="AB12" s="12" t="s">
        <v>75</v>
      </c>
      <c r="AC12" s="12" t="s">
        <v>76</v>
      </c>
      <c r="AD12" s="12" t="s">
        <v>77</v>
      </c>
      <c r="AE12" s="12" t="s">
        <v>78</v>
      </c>
      <c r="AF12" s="12" t="s">
        <v>79</v>
      </c>
      <c r="AG12" s="12" t="s">
        <v>49</v>
      </c>
    </row>
    <row r="13" spans="1:33" ht="37.5" x14ac:dyDescent="0.25">
      <c r="A13" s="23">
        <v>1</v>
      </c>
      <c r="B13" s="32" t="s">
        <v>15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1" t="str">
        <f>IF(C378="","",(SUM(C13:AF13)/'Preliminary Sheet'!H7))</f>
        <v/>
      </c>
    </row>
    <row r="14" spans="1:33" ht="18.75" x14ac:dyDescent="0.25">
      <c r="A14" s="23">
        <v>2</v>
      </c>
      <c r="B14" s="32" t="s">
        <v>19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1" t="str">
        <f>IF(C14="","",(SUM(C14:AF14)/'Preliminary Sheet'!H7))</f>
        <v/>
      </c>
    </row>
    <row r="15" spans="1:33" ht="37.5" x14ac:dyDescent="0.25">
      <c r="A15" s="23">
        <v>3</v>
      </c>
      <c r="B15" s="32" t="s">
        <v>8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1" t="str">
        <f>IF(C15="","",(SUM(C15:AF15)/'Preliminary Sheet'!H7))</f>
        <v/>
      </c>
    </row>
    <row r="16" spans="1:33" ht="56.25" x14ac:dyDescent="0.25">
      <c r="A16" s="23">
        <v>4</v>
      </c>
      <c r="B16" s="32" t="s">
        <v>9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1" t="str">
        <f>IF(C16="","",(SUM(C16:AF16)/'Preliminary Sheet'!H7))</f>
        <v/>
      </c>
    </row>
    <row r="17" spans="1:33" ht="75" x14ac:dyDescent="0.25">
      <c r="A17" s="23">
        <v>5</v>
      </c>
      <c r="B17" s="32" t="s">
        <v>17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1" t="str">
        <f>IF(C17="","",(SUM(C17:AF17)/'Preliminary Sheet'!H7))</f>
        <v/>
      </c>
    </row>
    <row r="18" spans="1:33" ht="56.25" x14ac:dyDescent="0.25">
      <c r="A18" s="23">
        <v>6</v>
      </c>
      <c r="B18" s="32" t="s">
        <v>18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1" t="str">
        <f>IF(C18="","",(SUM(C18:AF18)/'Preliminary Sheet'!H7))</f>
        <v/>
      </c>
    </row>
    <row r="19" spans="1:33" ht="37.5" x14ac:dyDescent="0.25">
      <c r="A19" s="23">
        <v>7</v>
      </c>
      <c r="B19" s="32" t="s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1" t="str">
        <f>IF(C19="","",(SUM(C19:AF19)/'Preliminary Sheet'!H7))</f>
        <v/>
      </c>
    </row>
    <row r="20" spans="1:33" ht="56.25" x14ac:dyDescent="0.25">
      <c r="A20" s="23">
        <v>8</v>
      </c>
      <c r="B20" s="32" t="s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1" t="str">
        <f>IF(C20="","",(SUM(C20:AF20)/'Preliminary Sheet'!H7))</f>
        <v/>
      </c>
    </row>
    <row r="21" spans="1:33" ht="56.25" x14ac:dyDescent="0.25">
      <c r="A21" s="23">
        <v>9</v>
      </c>
      <c r="B21" s="32" t="s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1" t="str">
        <f>IF(C21="","",(SUM(C21:AF21)/'Preliminary Sheet'!H7))</f>
        <v/>
      </c>
    </row>
    <row r="22" spans="1:33" ht="37.5" x14ac:dyDescent="0.25">
      <c r="A22" s="23">
        <v>10</v>
      </c>
      <c r="B22" s="32" t="s">
        <v>13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1" t="str">
        <f>IF(C22="","",(SUM(C22:AF22)/'Preliminary Sheet'!H7))</f>
        <v/>
      </c>
    </row>
    <row r="23" spans="1:33" ht="75" x14ac:dyDescent="0.25">
      <c r="A23" s="23">
        <v>11</v>
      </c>
      <c r="B23" s="32" t="s">
        <v>14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1" t="str">
        <f>IF(C23="","",(SUM(C23:AF23)/'Preliminary Sheet'!H7))</f>
        <v/>
      </c>
    </row>
    <row r="24" spans="1:33" ht="56.25" x14ac:dyDescent="0.25">
      <c r="A24" s="23">
        <v>12</v>
      </c>
      <c r="B24" s="32" t="s">
        <v>117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1" t="str">
        <f>IF(C24="","",(SUM(C24:AF24)/'Preliminary Sheet'!H7))</f>
        <v/>
      </c>
    </row>
    <row r="25" spans="1:33" ht="56.25" x14ac:dyDescent="0.25">
      <c r="A25" s="23">
        <v>13</v>
      </c>
      <c r="B25" s="32" t="s">
        <v>16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1" t="str">
        <f>IF(C25="","",(SUM(C25:AF25)/'Preliminary Sheet'!H7))</f>
        <v/>
      </c>
    </row>
    <row r="26" spans="1:33" ht="75" x14ac:dyDescent="0.25">
      <c r="A26" s="23">
        <v>14</v>
      </c>
      <c r="B26" s="32" t="s">
        <v>20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1" t="str">
        <f>IF(C26="","",(SUM(C26:AF26)/'Preliminary Sheet'!H7))</f>
        <v/>
      </c>
    </row>
    <row r="27" spans="1:33" ht="56.25" x14ac:dyDescent="0.25">
      <c r="A27" s="23">
        <v>15</v>
      </c>
      <c r="B27" s="32" t="s">
        <v>21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1" t="str">
        <f>IF(C27="","",(SUM(C27:AF27)/'Preliminary Sheet'!H7))</f>
        <v/>
      </c>
    </row>
    <row r="28" spans="1:33" hidden="1" x14ac:dyDescent="0.25">
      <c r="A28" s="13"/>
      <c r="B28" s="14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1" t="str">
        <f>IF(C28="","",(SUM(C28:AF28)/'Preliminary Sheet'!H7))</f>
        <v/>
      </c>
    </row>
    <row r="29" spans="1:33" hidden="1" x14ac:dyDescent="0.25">
      <c r="A29" s="13"/>
      <c r="B29" s="14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1"/>
    </row>
    <row r="30" spans="1:33" hidden="1" x14ac:dyDescent="0.25">
      <c r="A30" s="13"/>
      <c r="B30" s="14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1" t="str">
        <f>IF(C30="","",(SUM(C30:AF30)/'Preliminary Sheet'!H7))</f>
        <v/>
      </c>
    </row>
    <row r="31" spans="1:33" hidden="1" x14ac:dyDescent="0.25">
      <c r="A31" s="13"/>
      <c r="B31" s="14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1" t="str">
        <f>IF(C31="","",(SUM(C31:AF31)/'Preliminary Sheet'!H7))</f>
        <v/>
      </c>
    </row>
    <row r="32" spans="1:33" hidden="1" x14ac:dyDescent="0.25">
      <c r="A32" s="13"/>
      <c r="B32" s="14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1" t="str">
        <f>IF(C32="","",(SUM(C32:AF32)/'Preliminary Sheet'!H7))</f>
        <v/>
      </c>
    </row>
    <row r="33" spans="1:33" x14ac:dyDescent="0.25">
      <c r="A33" s="55" t="s">
        <v>112</v>
      </c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1" t="str">
        <f>IF(C33="","",(SUM(C33:AF33)/'Preliminary Sheet'!H7))</f>
        <v/>
      </c>
    </row>
    <row r="34" spans="1:33" x14ac:dyDescent="0.25">
      <c r="A34" s="57"/>
      <c r="B34" s="58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AG34" s="9"/>
    </row>
    <row r="35" spans="1:33" ht="96.75" x14ac:dyDescent="0.3">
      <c r="A35"/>
      <c r="B35" s="11"/>
      <c r="C35" s="12" t="s">
        <v>82</v>
      </c>
      <c r="D35" s="12" t="s">
        <v>83</v>
      </c>
      <c r="E35" s="12" t="s">
        <v>84</v>
      </c>
      <c r="F35" s="12" t="s">
        <v>85</v>
      </c>
      <c r="G35" s="12" t="s">
        <v>86</v>
      </c>
      <c r="H35" s="12" t="s">
        <v>87</v>
      </c>
      <c r="I35" s="12" t="s">
        <v>88</v>
      </c>
      <c r="J35" s="12" t="s">
        <v>89</v>
      </c>
      <c r="K35" s="12" t="s">
        <v>90</v>
      </c>
      <c r="L35" s="12" t="s">
        <v>91</v>
      </c>
      <c r="M35" s="12" t="s">
        <v>92</v>
      </c>
      <c r="N35" s="12" t="s">
        <v>93</v>
      </c>
      <c r="O35" s="12" t="s">
        <v>94</v>
      </c>
      <c r="P35" s="12" t="s">
        <v>95</v>
      </c>
      <c r="Q35" s="4" t="s">
        <v>96</v>
      </c>
      <c r="R35" s="4" t="s">
        <v>97</v>
      </c>
      <c r="S35" s="4" t="s">
        <v>98</v>
      </c>
      <c r="T35" s="4" t="s">
        <v>99</v>
      </c>
      <c r="U35" s="4" t="s">
        <v>100</v>
      </c>
      <c r="V35" s="4" t="s">
        <v>101</v>
      </c>
      <c r="W35" s="4" t="s">
        <v>102</v>
      </c>
      <c r="X35" s="4" t="s">
        <v>103</v>
      </c>
      <c r="Y35" s="4" t="s">
        <v>104</v>
      </c>
      <c r="Z35" s="4" t="s">
        <v>105</v>
      </c>
      <c r="AA35" s="4" t="s">
        <v>106</v>
      </c>
      <c r="AB35" s="4" t="s">
        <v>107</v>
      </c>
      <c r="AC35" s="4" t="s">
        <v>108</v>
      </c>
      <c r="AD35" s="4" t="s">
        <v>109</v>
      </c>
      <c r="AE35" s="4" t="s">
        <v>110</v>
      </c>
      <c r="AF35" s="4" t="s">
        <v>111</v>
      </c>
      <c r="AG35" s="10" t="s">
        <v>80</v>
      </c>
    </row>
    <row r="36" spans="1:33" ht="43.5" customHeight="1" x14ac:dyDescent="0.3">
      <c r="C36" s="8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24" t="str">
        <f>IF(C36="","",(SUM(C36:AF36)/'Preliminary Sheet'!H7))</f>
        <v/>
      </c>
    </row>
    <row r="378" spans="3:3" x14ac:dyDescent="0.25">
      <c r="C378" s="6" t="str">
        <f>'Report Sheet'!L14</f>
        <v/>
      </c>
    </row>
  </sheetData>
  <sheetProtection formatCells="0" formatColumns="0" formatRows="0"/>
  <mergeCells count="6">
    <mergeCell ref="A33:P34"/>
    <mergeCell ref="B1:P1"/>
    <mergeCell ref="B2:O2"/>
    <mergeCell ref="B3:O3"/>
    <mergeCell ref="B4:O4"/>
    <mergeCell ref="A11:P1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36"/>
  <sheetViews>
    <sheetView showGridLines="0" zoomScale="50" zoomScaleNormal="50" workbookViewId="0">
      <pane xSplit="13" ySplit="11" topLeftCell="N12" activePane="bottomRight" state="frozen"/>
      <selection pane="topRight" activeCell="N1" sqref="N1"/>
      <selection pane="bottomLeft" activeCell="A11" sqref="A11"/>
      <selection pane="bottomRight" activeCell="L13" sqref="L13"/>
    </sheetView>
  </sheetViews>
  <sheetFormatPr defaultRowHeight="30" customHeight="1" x14ac:dyDescent="0.3"/>
  <cols>
    <col min="1" max="1" width="9.140625" style="2"/>
    <col min="2" max="2" width="17.7109375" style="41" customWidth="1"/>
    <col min="3" max="3" width="20.5703125" style="42" customWidth="1"/>
    <col min="4" max="4" width="11.42578125" style="30" customWidth="1"/>
    <col min="5" max="5" width="10.42578125" style="30" customWidth="1"/>
    <col min="6" max="14" width="9.140625" style="30"/>
    <col min="15" max="15" width="17.5703125" style="30" customWidth="1"/>
    <col min="16" max="16" width="12.140625" style="2" customWidth="1"/>
    <col min="17" max="17" width="14.42578125" style="16" customWidth="1"/>
    <col min="18" max="18" width="11" style="16" customWidth="1"/>
    <col min="19" max="19" width="14.85546875" style="2" customWidth="1"/>
    <col min="20" max="20" width="11.28515625" style="2" bestFit="1" customWidth="1"/>
    <col min="21" max="21" width="9.140625" style="2"/>
    <col min="22" max="22" width="12.7109375" style="2" bestFit="1" customWidth="1"/>
    <col min="23" max="16384" width="9.140625" style="2"/>
  </cols>
  <sheetData>
    <row r="1" spans="1:21" ht="47.25" customHeight="1" x14ac:dyDescent="0.6">
      <c r="A1" s="15"/>
      <c r="B1" s="94" t="s">
        <v>120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U1" s="17"/>
    </row>
    <row r="2" spans="1:21" ht="30" customHeight="1" x14ac:dyDescent="0.5">
      <c r="B2" s="95" t="s">
        <v>27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/>
      <c r="U2" s="18"/>
    </row>
    <row r="3" spans="1:21" ht="30" customHeight="1" x14ac:dyDescent="0.4">
      <c r="B3" s="96" t="s">
        <v>123</v>
      </c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/>
      <c r="U3" s="19"/>
    </row>
    <row r="4" spans="1:21" ht="30" customHeight="1" thickBot="1" x14ac:dyDescent="0.4">
      <c r="B4" s="97" t="s">
        <v>124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/>
      <c r="U4" s="20"/>
    </row>
    <row r="5" spans="1:21" ht="30" customHeight="1" thickBot="1" x14ac:dyDescent="0.35">
      <c r="B5" s="25" t="s">
        <v>28</v>
      </c>
      <c r="C5" s="101"/>
      <c r="D5" s="71"/>
      <c r="E5" s="25" t="s">
        <v>40</v>
      </c>
      <c r="F5" s="26"/>
      <c r="G5" s="93"/>
      <c r="H5" s="70"/>
      <c r="I5" s="71"/>
      <c r="J5" s="98" t="s">
        <v>43</v>
      </c>
      <c r="K5" s="99"/>
      <c r="L5" s="99"/>
      <c r="M5" s="99"/>
      <c r="N5" s="100"/>
      <c r="O5" s="46"/>
    </row>
    <row r="6" spans="1:21" ht="30" customHeight="1" thickBot="1" x14ac:dyDescent="0.35">
      <c r="B6" s="27" t="s">
        <v>29</v>
      </c>
      <c r="C6" s="93"/>
      <c r="D6" s="71"/>
      <c r="E6" s="27" t="s">
        <v>41</v>
      </c>
      <c r="F6" s="28"/>
      <c r="G6" s="93"/>
      <c r="H6" s="70"/>
      <c r="I6" s="71"/>
      <c r="J6" s="87" t="s">
        <v>44</v>
      </c>
      <c r="K6" s="88"/>
      <c r="L6" s="88"/>
      <c r="M6" s="88"/>
      <c r="N6" s="89"/>
      <c r="O6" s="46"/>
    </row>
    <row r="7" spans="1:21" ht="36.75" customHeight="1" thickBot="1" x14ac:dyDescent="0.35">
      <c r="B7" s="29" t="s">
        <v>39</v>
      </c>
      <c r="C7" s="93"/>
      <c r="D7" s="71"/>
      <c r="E7" s="72" t="s">
        <v>42</v>
      </c>
      <c r="F7" s="73"/>
      <c r="G7" s="74"/>
      <c r="H7" s="75"/>
      <c r="I7" s="76"/>
      <c r="J7" s="90" t="s">
        <v>45</v>
      </c>
      <c r="K7" s="91"/>
      <c r="L7" s="91"/>
      <c r="M7" s="91"/>
      <c r="N7" s="92"/>
      <c r="O7" s="46"/>
    </row>
    <row r="8" spans="1:21" ht="30" customHeight="1" thickBot="1" x14ac:dyDescent="0.35">
      <c r="B8" s="77" t="s">
        <v>46</v>
      </c>
      <c r="C8" s="78"/>
      <c r="D8" s="79"/>
      <c r="E8" s="80"/>
      <c r="F8" s="80"/>
      <c r="G8" s="80"/>
      <c r="H8" s="80"/>
      <c r="I8" s="80"/>
      <c r="J8" s="80"/>
      <c r="K8" s="80"/>
      <c r="L8" s="80"/>
      <c r="M8" s="80"/>
      <c r="N8" s="80"/>
      <c r="O8" s="81"/>
    </row>
    <row r="10" spans="1:21" ht="2.25" customHeight="1" x14ac:dyDescent="0.3"/>
    <row r="11" spans="1:21" s="30" customFormat="1" ht="99.95" customHeight="1" x14ac:dyDescent="0.3">
      <c r="B11" s="31" t="s">
        <v>0</v>
      </c>
      <c r="C11" s="32" t="s">
        <v>1</v>
      </c>
      <c r="D11" s="33" t="s">
        <v>22</v>
      </c>
      <c r="E11" s="33" t="s">
        <v>23</v>
      </c>
      <c r="F11" s="33" t="s">
        <v>24</v>
      </c>
      <c r="G11" s="33" t="s">
        <v>2</v>
      </c>
      <c r="H11" s="33" t="s">
        <v>25</v>
      </c>
      <c r="I11" s="33" t="s">
        <v>26</v>
      </c>
      <c r="J11" s="33" t="s">
        <v>3</v>
      </c>
      <c r="K11" s="33" t="s">
        <v>4</v>
      </c>
      <c r="L11" s="33" t="s">
        <v>5</v>
      </c>
      <c r="M11" s="33" t="s">
        <v>49</v>
      </c>
      <c r="N11" s="33" t="s">
        <v>6</v>
      </c>
      <c r="O11" s="31" t="s">
        <v>7</v>
      </c>
      <c r="P11" s="34"/>
      <c r="Q11" s="35"/>
      <c r="R11" s="36"/>
    </row>
    <row r="12" spans="1:21" ht="60" customHeight="1" x14ac:dyDescent="0.25">
      <c r="B12" s="31">
        <v>1</v>
      </c>
      <c r="C12" s="32" t="s">
        <v>15</v>
      </c>
      <c r="D12" s="47"/>
      <c r="E12" s="47"/>
      <c r="F12" s="47"/>
      <c r="G12" s="47"/>
      <c r="H12" s="47"/>
      <c r="I12" s="47"/>
      <c r="J12" s="48" t="str">
        <f>IF(D12="", "", SUM(D12:I12))</f>
        <v/>
      </c>
      <c r="K12" s="47"/>
      <c r="L12" s="49" t="str">
        <f>IF(D12="", "", SUM(J12:K12))</f>
        <v/>
      </c>
      <c r="M12" s="49" t="str">
        <f>IF(D12="","",Average!AG13)</f>
        <v/>
      </c>
      <c r="N12" s="49" t="str">
        <f>IF(D12="","",IF(L12&lt;40,"F",(IF(AND(L12&lt;50,L12&gt;39),"D",(IF(AND(L12&lt;70,L12&gt;49),"C",IF(AND(L12&lt;80,L12&gt;69),"B",IF(AND(L12&lt;90,L12&gt;79),"B+",IF(L12&gt;=90,"A")))))))))</f>
        <v/>
      </c>
      <c r="O12" s="49" t="str">
        <f>IF(D12="","",IF(L12&lt;40,"FAIL",(IF(AND(L12&lt;50,L12&gt;39),"PASS",(IF(AND(L12&lt;70,L12&gt;49),"FAIRLY GOOD",IF(AND(L12&lt;80,L12&gt;69),"GOOD",IF(AND(L12&lt;90,L12&gt;79),"VERY GOOD",IF(L12&gt;=90,"EXCELLENT")))))))))</f>
        <v/>
      </c>
      <c r="P12" s="21"/>
      <c r="Q12" s="22"/>
    </row>
    <row r="13" spans="1:21" ht="60" customHeight="1" x14ac:dyDescent="0.25">
      <c r="B13" s="31">
        <v>2</v>
      </c>
      <c r="C13" s="32" t="s">
        <v>19</v>
      </c>
      <c r="D13" s="47"/>
      <c r="E13" s="47"/>
      <c r="F13" s="47"/>
      <c r="G13" s="47"/>
      <c r="H13" s="47"/>
      <c r="I13" s="47"/>
      <c r="J13" s="48" t="str">
        <f>IF(D13="", "", SUM(D13:I13))</f>
        <v/>
      </c>
      <c r="K13" s="47"/>
      <c r="L13" s="49" t="str">
        <f>IF(D13="", "", SUM(J13:K13))</f>
        <v/>
      </c>
      <c r="M13" s="49" t="str">
        <f>IF(D13="","",Average!AG14)</f>
        <v/>
      </c>
      <c r="N13" s="49" t="str">
        <f>IF(D13="","",IF(L13&lt;40,"F",(IF(AND(L13&lt;50,L13&gt;39),"D",(IF(AND(L13&lt;70,L13&gt;49),"C",IF(AND(L13&lt;80,L13&gt;69),"B",IF(AND(L13&lt;90,L13&gt;79),"B+",IF(L13&gt;=90,"A")))))))))</f>
        <v/>
      </c>
      <c r="O13" s="49" t="str">
        <f>IF(D13="","",IF(L13&lt;40,"FAIL",(IF(AND(L13&lt;50,L13&gt;39),"PASS",(IF(AND(L13&lt;70,L13&gt;49),"FAIRLY GOOD",IF(AND(L13&lt;80,L13&gt;69),"GOOD",IF(AND(L13&lt;90,L13&gt;79),"VERY GOOD",IF(L13&gt;=90,"EXCELLENT")))))))))</f>
        <v/>
      </c>
      <c r="P13" s="21"/>
      <c r="Q13" s="22"/>
    </row>
    <row r="14" spans="1:21" ht="60" customHeight="1" x14ac:dyDescent="0.25">
      <c r="B14" s="31">
        <v>3</v>
      </c>
      <c r="C14" s="32" t="s">
        <v>8</v>
      </c>
      <c r="D14" s="47"/>
      <c r="E14" s="47"/>
      <c r="F14" s="47"/>
      <c r="G14" s="47"/>
      <c r="H14" s="47"/>
      <c r="I14" s="47"/>
      <c r="J14" s="48" t="str">
        <f t="shared" ref="J14:J31" si="0">IF(D14="", "", SUM(D14:I14))</f>
        <v/>
      </c>
      <c r="K14" s="47"/>
      <c r="L14" s="49" t="str">
        <f>IF(D14="", "", SUM(J14:K14))</f>
        <v/>
      </c>
      <c r="M14" s="49" t="str">
        <f>IF(D14="","",Average!AG15)</f>
        <v/>
      </c>
      <c r="N14" s="49" t="str">
        <f>IF(D14="","",IF(L14&lt;40,"F",(IF(AND(L14&lt;50,L14&gt;39),"D",(IF(AND(L14&lt;70,L14&gt;49),"C",IF(AND(L14&lt;80,L14&gt;69),"B",IF(AND(L14&lt;90,L14&gt;79),"B+",IF(L14&gt;=90,"A")))))))))</f>
        <v/>
      </c>
      <c r="O14" s="49" t="str">
        <f>IF(D14="","",IF(L14&lt;40,"FAIL",(IF(AND(L14&lt;50,L14&gt;39),"PASS",(IF(AND(L14&lt;70,L14&gt;49),"FAIRLY GOOD",IF(AND(L14&lt;80,L14&gt;69),"GOOD",IF(AND(L14&lt;90,L14&gt;79),"VERY GOOD",IF(L14&gt;=90,"EXCELLENT")))))))))</f>
        <v/>
      </c>
      <c r="P14" s="21"/>
      <c r="Q14" s="22"/>
    </row>
    <row r="15" spans="1:21" ht="60" customHeight="1" x14ac:dyDescent="0.25">
      <c r="B15" s="31">
        <v>4</v>
      </c>
      <c r="C15" s="32" t="s">
        <v>9</v>
      </c>
      <c r="D15" s="47"/>
      <c r="E15" s="47"/>
      <c r="F15" s="47"/>
      <c r="G15" s="47"/>
      <c r="H15" s="47"/>
      <c r="I15" s="47"/>
      <c r="J15" s="48" t="str">
        <f t="shared" si="0"/>
        <v/>
      </c>
      <c r="K15" s="47"/>
      <c r="L15" s="49" t="str">
        <f t="shared" ref="L15:L31" si="1">IF(D15="", "", SUM(J15:K15))</f>
        <v/>
      </c>
      <c r="M15" s="49" t="str">
        <f>IF(D15="","",Average!AG16)</f>
        <v/>
      </c>
      <c r="N15" s="49" t="str">
        <f t="shared" ref="N15:N31" si="2">IF(D15="","",IF(L15&lt;40,"F",(IF(AND(L15&lt;50,L15&gt;39),"D",(IF(AND(L15&lt;70,L15&gt;49),"C",IF(AND(L15&lt;80,L15&gt;69),"B",IF(AND(L15&lt;90,L15&gt;79),"B+",IF(L15&gt;=90,"A")))))))))</f>
        <v/>
      </c>
      <c r="O15" s="49" t="str">
        <f t="shared" ref="O15:O31" si="3">IF(D15="","",IF(L15&lt;40,"FAIL",(IF(AND(L15&lt;50,L15&gt;39),"PASS",(IF(AND(L15&lt;70,L15&gt;49),"FAIRLY GOOD",IF(AND(L15&lt;80,L15&gt;69),"GOOD",IF(AND(L15&lt;90,L15&gt;79),"VERY GOOD",IF(L15&gt;=90,"EXCELLENT")))))))))</f>
        <v/>
      </c>
      <c r="P15" s="21"/>
      <c r="Q15" s="22"/>
    </row>
    <row r="16" spans="1:21" ht="60" customHeight="1" x14ac:dyDescent="0.25">
      <c r="B16" s="31">
        <v>5</v>
      </c>
      <c r="C16" s="32" t="s">
        <v>17</v>
      </c>
      <c r="D16" s="47"/>
      <c r="E16" s="47"/>
      <c r="F16" s="47"/>
      <c r="G16" s="47"/>
      <c r="H16" s="47"/>
      <c r="I16" s="47"/>
      <c r="J16" s="48" t="str">
        <f>IF(D16="", "", SUM(D16:I16))</f>
        <v/>
      </c>
      <c r="K16" s="47"/>
      <c r="L16" s="49" t="str">
        <f>IF(D16="", "", SUM(J16:K16))</f>
        <v/>
      </c>
      <c r="M16" s="49" t="str">
        <f>IF(D16="","",Average!AG17)</f>
        <v/>
      </c>
      <c r="N16" s="49" t="str">
        <f>IF(D16="","",IF(L16&lt;40,"F",(IF(AND(L16&lt;50,L16&gt;39),"D",(IF(AND(L16&lt;70,L16&gt;49),"C",IF(AND(L16&lt;80,L16&gt;69),"B",IF(AND(L16&lt;90,L16&gt;79),"B+",IF(L16&gt;=90,"A")))))))))</f>
        <v/>
      </c>
      <c r="O16" s="49" t="str">
        <f>IF(D16="","",IF(L16&lt;40,"FAIL",(IF(AND(L16&lt;50,L16&gt;39),"PASS",(IF(AND(L16&lt;70,L16&gt;49),"FAIRLY GOOD",IF(AND(L16&lt;80,L16&gt;69),"GOOD",IF(AND(L16&lt;90,L16&gt;79),"VERY GOOD",IF(L16&gt;=90,"EXCELLENT")))))))))</f>
        <v/>
      </c>
      <c r="P16" s="21"/>
      <c r="Q16" s="22"/>
    </row>
    <row r="17" spans="2:17" ht="60" customHeight="1" x14ac:dyDescent="0.25">
      <c r="B17" s="31">
        <v>6</v>
      </c>
      <c r="C17" s="32" t="s">
        <v>18</v>
      </c>
      <c r="D17" s="47"/>
      <c r="E17" s="47"/>
      <c r="F17" s="47"/>
      <c r="G17" s="47"/>
      <c r="H17" s="47"/>
      <c r="I17" s="47"/>
      <c r="J17" s="48" t="str">
        <f>IF(D17="", "", SUM(D17:I17))</f>
        <v/>
      </c>
      <c r="K17" s="47"/>
      <c r="L17" s="49" t="str">
        <f>IF(D17="", "", SUM(J17:K17))</f>
        <v/>
      </c>
      <c r="M17" s="49" t="str">
        <f>IF(D17="","",Average!AG18)</f>
        <v/>
      </c>
      <c r="N17" s="49" t="str">
        <f>IF(D17="","",IF(L17&lt;40,"F",(IF(AND(L17&lt;50,L17&gt;39),"D",(IF(AND(L17&lt;70,L17&gt;49),"C",IF(AND(L17&lt;80,L17&gt;69),"B",IF(AND(L17&lt;90,L17&gt;79),"B+",IF(L17&gt;=90,"A")))))))))</f>
        <v/>
      </c>
      <c r="O17" s="49" t="str">
        <f>IF(D17="","",IF(L17&lt;40,"FAIL",(IF(AND(L17&lt;50,L17&gt;39),"PASS",(IF(AND(L17&lt;70,L17&gt;49),"FAIRLY GOOD",IF(AND(L17&lt;80,L17&gt;69),"GOOD",IF(AND(L17&lt;90,L17&gt;79),"VERY GOOD",IF(L17&gt;=90,"EXCELLENT")))))))))</f>
        <v/>
      </c>
      <c r="P17" s="21"/>
      <c r="Q17" s="22"/>
    </row>
    <row r="18" spans="2:17" ht="60" customHeight="1" x14ac:dyDescent="0.25">
      <c r="B18" s="31">
        <v>7</v>
      </c>
      <c r="C18" s="32" t="s">
        <v>10</v>
      </c>
      <c r="D18" s="47"/>
      <c r="E18" s="47"/>
      <c r="F18" s="47"/>
      <c r="G18" s="47"/>
      <c r="H18" s="47"/>
      <c r="I18" s="47"/>
      <c r="J18" s="48" t="str">
        <f t="shared" si="0"/>
        <v/>
      </c>
      <c r="K18" s="47"/>
      <c r="L18" s="49" t="str">
        <f t="shared" si="1"/>
        <v/>
      </c>
      <c r="M18" s="49" t="str">
        <f>IF(D18="","",Average!AG19)</f>
        <v/>
      </c>
      <c r="N18" s="49" t="str">
        <f t="shared" si="2"/>
        <v/>
      </c>
      <c r="O18" s="49" t="str">
        <f t="shared" si="3"/>
        <v/>
      </c>
      <c r="P18" s="21"/>
      <c r="Q18" s="22"/>
    </row>
    <row r="19" spans="2:17" ht="60" customHeight="1" x14ac:dyDescent="0.25">
      <c r="B19" s="31">
        <v>8</v>
      </c>
      <c r="C19" s="32" t="s">
        <v>11</v>
      </c>
      <c r="D19" s="47"/>
      <c r="E19" s="47"/>
      <c r="F19" s="47"/>
      <c r="G19" s="47"/>
      <c r="H19" s="47"/>
      <c r="I19" s="47"/>
      <c r="J19" s="48" t="str">
        <f t="shared" si="0"/>
        <v/>
      </c>
      <c r="K19" s="47"/>
      <c r="L19" s="49" t="str">
        <f t="shared" si="1"/>
        <v/>
      </c>
      <c r="M19" s="49" t="str">
        <f>IF(D19="","",Average!AG20)</f>
        <v/>
      </c>
      <c r="N19" s="49" t="str">
        <f t="shared" si="2"/>
        <v/>
      </c>
      <c r="O19" s="49" t="str">
        <f t="shared" si="3"/>
        <v/>
      </c>
      <c r="P19" s="21"/>
      <c r="Q19" s="22"/>
    </row>
    <row r="20" spans="2:17" ht="60" customHeight="1" x14ac:dyDescent="0.25">
      <c r="B20" s="31">
        <v>9</v>
      </c>
      <c r="C20" s="32" t="s">
        <v>12</v>
      </c>
      <c r="D20" s="47"/>
      <c r="E20" s="47"/>
      <c r="F20" s="47"/>
      <c r="G20" s="47"/>
      <c r="H20" s="47"/>
      <c r="I20" s="47"/>
      <c r="J20" s="48" t="str">
        <f t="shared" si="0"/>
        <v/>
      </c>
      <c r="K20" s="47"/>
      <c r="L20" s="49" t="str">
        <f t="shared" si="1"/>
        <v/>
      </c>
      <c r="M20" s="49" t="str">
        <f>IF(D20="","",Average!AG21)</f>
        <v/>
      </c>
      <c r="N20" s="49" t="str">
        <f t="shared" si="2"/>
        <v/>
      </c>
      <c r="O20" s="49" t="str">
        <f t="shared" si="3"/>
        <v/>
      </c>
      <c r="P20" s="21"/>
      <c r="Q20" s="22"/>
    </row>
    <row r="21" spans="2:17" ht="60" customHeight="1" x14ac:dyDescent="0.25">
      <c r="B21" s="31">
        <v>10</v>
      </c>
      <c r="C21" s="32" t="s">
        <v>13</v>
      </c>
      <c r="D21" s="47"/>
      <c r="E21" s="47"/>
      <c r="F21" s="47"/>
      <c r="G21" s="47"/>
      <c r="H21" s="47"/>
      <c r="I21" s="47"/>
      <c r="J21" s="48" t="str">
        <f t="shared" si="0"/>
        <v/>
      </c>
      <c r="K21" s="47"/>
      <c r="L21" s="49" t="str">
        <f t="shared" si="1"/>
        <v/>
      </c>
      <c r="M21" s="49" t="str">
        <f>IF(D21="","",Average!AG22)</f>
        <v/>
      </c>
      <c r="N21" s="49" t="str">
        <f t="shared" si="2"/>
        <v/>
      </c>
      <c r="O21" s="49" t="str">
        <f t="shared" si="3"/>
        <v/>
      </c>
      <c r="P21" s="21"/>
      <c r="Q21" s="22"/>
    </row>
    <row r="22" spans="2:17" ht="60" customHeight="1" x14ac:dyDescent="0.25">
      <c r="B22" s="31">
        <v>11</v>
      </c>
      <c r="C22" s="32" t="s">
        <v>14</v>
      </c>
      <c r="D22" s="47"/>
      <c r="E22" s="47"/>
      <c r="F22" s="47"/>
      <c r="G22" s="47"/>
      <c r="H22" s="47"/>
      <c r="I22" s="47"/>
      <c r="J22" s="48" t="str">
        <f t="shared" si="0"/>
        <v/>
      </c>
      <c r="K22" s="47"/>
      <c r="L22" s="49" t="str">
        <f t="shared" si="1"/>
        <v/>
      </c>
      <c r="M22" s="49" t="str">
        <f>IF(D22="","",Average!AG23)</f>
        <v/>
      </c>
      <c r="N22" s="49" t="str">
        <f t="shared" si="2"/>
        <v/>
      </c>
      <c r="O22" s="49" t="str">
        <f t="shared" si="3"/>
        <v/>
      </c>
      <c r="P22" s="21"/>
      <c r="Q22" s="22"/>
    </row>
    <row r="23" spans="2:17" ht="60" customHeight="1" x14ac:dyDescent="0.25">
      <c r="B23" s="31">
        <v>12</v>
      </c>
      <c r="C23" s="32" t="s">
        <v>117</v>
      </c>
      <c r="D23" s="47"/>
      <c r="E23" s="47"/>
      <c r="F23" s="47"/>
      <c r="G23" s="47"/>
      <c r="H23" s="47"/>
      <c r="I23" s="47"/>
      <c r="J23" s="48" t="str">
        <f t="shared" si="0"/>
        <v/>
      </c>
      <c r="K23" s="47"/>
      <c r="L23" s="49" t="str">
        <f t="shared" si="1"/>
        <v/>
      </c>
      <c r="M23" s="49" t="str">
        <f>IF(D23="","",Average!AG24)</f>
        <v/>
      </c>
      <c r="N23" s="49" t="str">
        <f t="shared" si="2"/>
        <v/>
      </c>
      <c r="O23" s="49" t="str">
        <f t="shared" si="3"/>
        <v/>
      </c>
      <c r="P23" s="21"/>
      <c r="Q23" s="22"/>
    </row>
    <row r="24" spans="2:17" ht="60" customHeight="1" x14ac:dyDescent="0.25">
      <c r="B24" s="31">
        <v>13</v>
      </c>
      <c r="C24" s="32" t="s">
        <v>16</v>
      </c>
      <c r="D24" s="47"/>
      <c r="E24" s="47"/>
      <c r="F24" s="47"/>
      <c r="G24" s="47"/>
      <c r="H24" s="47"/>
      <c r="I24" s="47"/>
      <c r="J24" s="48" t="str">
        <f t="shared" si="0"/>
        <v/>
      </c>
      <c r="K24" s="47"/>
      <c r="L24" s="49" t="str">
        <f t="shared" si="1"/>
        <v/>
      </c>
      <c r="M24" s="49" t="str">
        <f>IF(D24="","",Average!AG25)</f>
        <v/>
      </c>
      <c r="N24" s="49" t="str">
        <f t="shared" si="2"/>
        <v/>
      </c>
      <c r="O24" s="49" t="str">
        <f t="shared" si="3"/>
        <v/>
      </c>
      <c r="P24" s="21"/>
      <c r="Q24" s="22"/>
    </row>
    <row r="25" spans="2:17" ht="60" customHeight="1" x14ac:dyDescent="0.25">
      <c r="B25" s="31">
        <v>14</v>
      </c>
      <c r="C25" s="32" t="s">
        <v>20</v>
      </c>
      <c r="D25" s="47"/>
      <c r="E25" s="47"/>
      <c r="F25" s="47"/>
      <c r="G25" s="47"/>
      <c r="H25" s="47"/>
      <c r="I25" s="47"/>
      <c r="J25" s="48" t="str">
        <f t="shared" si="0"/>
        <v/>
      </c>
      <c r="K25" s="47"/>
      <c r="L25" s="49" t="str">
        <f t="shared" si="1"/>
        <v/>
      </c>
      <c r="M25" s="49" t="str">
        <f>IF(D25="","",Average!AG26)</f>
        <v/>
      </c>
      <c r="N25" s="49" t="str">
        <f t="shared" si="2"/>
        <v/>
      </c>
      <c r="O25" s="49" t="str">
        <f t="shared" ref="O25:O26" si="4">IF(D25="","",IF(L25&lt;40,"FAIL",(IF(AND(L25&lt;50,L25&gt;39),"PASS",(IF(AND(L25&lt;70,L25&gt;49),"FAIRLY GOOD",IF(AND(L25&lt;80,L25&gt;69),"GOOD",IF(AND(L25&lt;90,L25&gt;79),"VERY GOOD",IF(L25&gt;=90,"EXCELLENT")))))))))</f>
        <v/>
      </c>
      <c r="P25" s="21"/>
      <c r="Q25" s="22"/>
    </row>
    <row r="26" spans="2:17" ht="37.5" x14ac:dyDescent="0.25">
      <c r="B26" s="31">
        <v>15</v>
      </c>
      <c r="C26" s="32" t="s">
        <v>21</v>
      </c>
      <c r="D26" s="47"/>
      <c r="E26" s="47"/>
      <c r="F26" s="47"/>
      <c r="G26" s="47"/>
      <c r="H26" s="47"/>
      <c r="I26" s="47"/>
      <c r="J26" s="48" t="str">
        <f t="shared" si="0"/>
        <v/>
      </c>
      <c r="K26" s="47"/>
      <c r="L26" s="49" t="str">
        <f t="shared" si="1"/>
        <v/>
      </c>
      <c r="M26" s="49" t="str">
        <f>IF(D26="","",Average!AG27)</f>
        <v/>
      </c>
      <c r="N26" s="49" t="str">
        <f t="shared" si="2"/>
        <v/>
      </c>
      <c r="O26" s="49" t="str">
        <f t="shared" si="4"/>
        <v/>
      </c>
      <c r="P26" s="21"/>
      <c r="Q26" s="22"/>
    </row>
    <row r="27" spans="2:17" ht="40.5" hidden="1" customHeight="1" x14ac:dyDescent="0.25">
      <c r="B27" s="31"/>
      <c r="C27" s="32"/>
      <c r="D27" s="47"/>
      <c r="E27" s="47"/>
      <c r="F27" s="47"/>
      <c r="G27" s="47"/>
      <c r="H27" s="47"/>
      <c r="I27" s="47"/>
      <c r="J27" s="48" t="str">
        <f t="shared" si="0"/>
        <v/>
      </c>
      <c r="K27" s="47"/>
      <c r="L27" s="49" t="str">
        <f t="shared" si="1"/>
        <v/>
      </c>
      <c r="M27" s="49" t="str">
        <f>IF(D27="","",Average!AG28)</f>
        <v/>
      </c>
      <c r="N27" s="49" t="str">
        <f t="shared" si="2"/>
        <v/>
      </c>
      <c r="O27" s="49"/>
      <c r="P27" s="21"/>
      <c r="Q27" s="22"/>
    </row>
    <row r="28" spans="2:17" ht="49.5" hidden="1" customHeight="1" x14ac:dyDescent="0.25">
      <c r="B28" s="31"/>
      <c r="C28" s="32"/>
      <c r="D28" s="47"/>
      <c r="E28" s="47"/>
      <c r="F28" s="47"/>
      <c r="G28" s="47"/>
      <c r="H28" s="47"/>
      <c r="I28" s="47"/>
      <c r="J28" s="48" t="str">
        <f t="shared" si="0"/>
        <v/>
      </c>
      <c r="K28" s="47"/>
      <c r="L28" s="49" t="str">
        <f t="shared" si="1"/>
        <v/>
      </c>
      <c r="M28" s="49" t="str">
        <f>IF(D28="","",Average!AG29)</f>
        <v/>
      </c>
      <c r="N28" s="49" t="str">
        <f t="shared" si="2"/>
        <v/>
      </c>
      <c r="O28" s="49" t="str">
        <f t="shared" si="3"/>
        <v/>
      </c>
      <c r="P28" s="21"/>
      <c r="Q28" s="22"/>
    </row>
    <row r="29" spans="2:17" ht="33" hidden="1" customHeight="1" x14ac:dyDescent="0.25">
      <c r="B29" s="31"/>
      <c r="C29" s="32"/>
      <c r="D29" s="47"/>
      <c r="E29" s="47"/>
      <c r="F29" s="47"/>
      <c r="G29" s="47"/>
      <c r="H29" s="47"/>
      <c r="I29" s="47"/>
      <c r="J29" s="49" t="str">
        <f t="shared" si="0"/>
        <v/>
      </c>
      <c r="K29" s="47"/>
      <c r="L29" s="49" t="str">
        <f t="shared" si="1"/>
        <v/>
      </c>
      <c r="M29" s="49" t="str">
        <f>IF(D29="","",Average!AG30)</f>
        <v/>
      </c>
      <c r="N29" s="49" t="str">
        <f t="shared" si="2"/>
        <v/>
      </c>
      <c r="O29" s="49" t="str">
        <f t="shared" si="3"/>
        <v/>
      </c>
      <c r="P29" s="21"/>
      <c r="Q29" s="22"/>
    </row>
    <row r="30" spans="2:17" ht="66" hidden="1" customHeight="1" x14ac:dyDescent="0.25">
      <c r="B30" s="31"/>
      <c r="C30" s="32"/>
      <c r="D30" s="47"/>
      <c r="E30" s="47"/>
      <c r="F30" s="47"/>
      <c r="G30" s="47"/>
      <c r="H30" s="47"/>
      <c r="I30" s="47"/>
      <c r="J30" s="49" t="str">
        <f t="shared" si="0"/>
        <v/>
      </c>
      <c r="K30" s="47"/>
      <c r="L30" s="49" t="str">
        <f t="shared" si="1"/>
        <v/>
      </c>
      <c r="M30" s="49" t="str">
        <f>IF(D30="","",Average!AG31)</f>
        <v/>
      </c>
      <c r="N30" s="49" t="str">
        <f t="shared" si="2"/>
        <v/>
      </c>
      <c r="O30" s="49" t="str">
        <f t="shared" si="3"/>
        <v/>
      </c>
      <c r="P30" s="21"/>
      <c r="Q30" s="22"/>
    </row>
    <row r="31" spans="2:17" ht="40.5" hidden="1" customHeight="1" x14ac:dyDescent="0.25">
      <c r="B31" s="31"/>
      <c r="C31" s="32"/>
      <c r="D31" s="47"/>
      <c r="E31" s="47"/>
      <c r="F31" s="47"/>
      <c r="G31" s="47"/>
      <c r="H31" s="47"/>
      <c r="I31" s="47"/>
      <c r="J31" s="49" t="str">
        <f t="shared" si="0"/>
        <v/>
      </c>
      <c r="K31" s="47"/>
      <c r="L31" s="49" t="str">
        <f t="shared" si="1"/>
        <v/>
      </c>
      <c r="M31" s="49" t="str">
        <f>IF(D31="","",Average!AG32)</f>
        <v/>
      </c>
      <c r="N31" s="49" t="str">
        <f t="shared" si="2"/>
        <v/>
      </c>
      <c r="O31" s="49" t="str">
        <f t="shared" si="3"/>
        <v/>
      </c>
      <c r="P31" s="21"/>
      <c r="Q31" s="22"/>
    </row>
    <row r="32" spans="2:17" ht="30" customHeight="1" x14ac:dyDescent="0.25">
      <c r="B32" s="43"/>
      <c r="C32" s="4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21"/>
      <c r="Q32" s="22"/>
    </row>
    <row r="33" spans="2:24" ht="70.5" customHeight="1" x14ac:dyDescent="0.25">
      <c r="B33" s="37" t="s">
        <v>30</v>
      </c>
      <c r="C33" s="39" t="s">
        <v>31</v>
      </c>
      <c r="D33" s="39" t="s">
        <v>47</v>
      </c>
      <c r="E33" s="37" t="s">
        <v>48</v>
      </c>
      <c r="F33" s="84" t="s">
        <v>32</v>
      </c>
      <c r="G33" s="85"/>
      <c r="H33" s="85"/>
      <c r="I33" s="85"/>
      <c r="J33" s="85"/>
      <c r="K33" s="85"/>
      <c r="L33" s="85"/>
      <c r="M33" s="85"/>
      <c r="N33" s="85"/>
      <c r="O33" s="86"/>
    </row>
    <row r="34" spans="2:24" ht="65.25" customHeight="1" thickBot="1" x14ac:dyDescent="0.35">
      <c r="B34" s="38">
        <f>100*'Preliminary Sheet'!H8</f>
        <v>1500</v>
      </c>
      <c r="C34" s="40">
        <f>SUM(L12:L31)</f>
        <v>0</v>
      </c>
      <c r="D34" s="50">
        <f>C34/'Preliminary Sheet'!H8</f>
        <v>0</v>
      </c>
      <c r="E34" s="51" t="str">
        <f>Average!AG36</f>
        <v/>
      </c>
      <c r="F34" s="82" t="s">
        <v>33</v>
      </c>
      <c r="G34" s="83"/>
      <c r="H34" s="82" t="s">
        <v>34</v>
      </c>
      <c r="I34" s="83"/>
      <c r="J34" s="52" t="s">
        <v>35</v>
      </c>
      <c r="K34" s="53"/>
      <c r="L34" s="82" t="s">
        <v>36</v>
      </c>
      <c r="M34" s="83"/>
      <c r="N34" s="52" t="s">
        <v>37</v>
      </c>
      <c r="O34" s="54" t="s">
        <v>38</v>
      </c>
      <c r="P34" s="16"/>
      <c r="Q34" s="2"/>
      <c r="R34" s="2"/>
      <c r="W34" s="16"/>
      <c r="X34" s="16"/>
    </row>
    <row r="35" spans="2:24" ht="50.25" customHeight="1" thickBot="1" x14ac:dyDescent="0.4">
      <c r="B35" s="68" t="s">
        <v>118</v>
      </c>
      <c r="C35" s="69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1"/>
    </row>
    <row r="36" spans="2:24" ht="30" customHeight="1" x14ac:dyDescent="0.3">
      <c r="B36" s="45" t="s">
        <v>119</v>
      </c>
    </row>
  </sheetData>
  <mergeCells count="22">
    <mergeCell ref="B1:P1"/>
    <mergeCell ref="B2:O2"/>
    <mergeCell ref="B3:O3"/>
    <mergeCell ref="B4:O4"/>
    <mergeCell ref="J5:N5"/>
    <mergeCell ref="C5:D5"/>
    <mergeCell ref="G5:I5"/>
    <mergeCell ref="J6:N6"/>
    <mergeCell ref="J7:N7"/>
    <mergeCell ref="C6:D6"/>
    <mergeCell ref="G6:I6"/>
    <mergeCell ref="C7:D7"/>
    <mergeCell ref="B35:C35"/>
    <mergeCell ref="D35:O35"/>
    <mergeCell ref="E7:F7"/>
    <mergeCell ref="G7:I7"/>
    <mergeCell ref="B8:C8"/>
    <mergeCell ref="D8:O8"/>
    <mergeCell ref="F34:G34"/>
    <mergeCell ref="H34:I34"/>
    <mergeCell ref="L34:M34"/>
    <mergeCell ref="F33:O33"/>
  </mergeCells>
  <dataValidations count="3">
    <dataValidation type="decimal" allowBlank="1" showInputMessage="1" showErrorMessage="1" error="The Score you inputed is beyond the limit of 60marks" sqref="Q34 K9:K32 K36:K1048576">
      <formula1>0</formula1>
      <formula2>60</formula2>
    </dataValidation>
    <dataValidation type="decimal" allowBlank="1" showInputMessage="1" showErrorMessage="1" error="The score you entered is beyond the limi of 5 marks" sqref="F9:I32 F36:I1048576">
      <formula1>0</formula1>
      <formula2>5</formula2>
    </dataValidation>
    <dataValidation type="decimal" allowBlank="1" showInputMessage="1" showErrorMessage="1" error="The scoreyou entered is beyond the limit of 10marks" sqref="D9:E32 D36:E1048576">
      <formula1>0</formula1>
      <formula2>10</formula2>
    </dataValidation>
  </dataValidations>
  <pageMargins left="0.7" right="0.7" top="0.75" bottom="0.75" header="0.3" footer="0.3"/>
  <pageSetup paperSize="9" scale="4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Preliminary Sheet</vt:lpstr>
      <vt:lpstr>Average</vt:lpstr>
      <vt:lpstr>Report Sheet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USER</cp:lastModifiedBy>
  <cp:lastPrinted>2023-07-18T08:49:21Z</cp:lastPrinted>
  <dcterms:created xsi:type="dcterms:W3CDTF">2023-06-14T20:19:24Z</dcterms:created>
  <dcterms:modified xsi:type="dcterms:W3CDTF">2025-04-20T20:16:12Z</dcterms:modified>
</cp:coreProperties>
</file>